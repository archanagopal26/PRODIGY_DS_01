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Data" sheetId="1" state="visible" r:id="rId1"/>
    <sheet xmlns:r="http://schemas.openxmlformats.org/officeDocument/2006/relationships" name="Dashboard &amp;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6"/>
    </font>
    <font>
      <name val="Segoe UI"/>
      <b val="1"/>
      <color rgb="00595959"/>
      <sz val="9"/>
    </font>
    <font>
      <name val="Segoe UI"/>
      <b val="1"/>
      <color rgb="00002060"/>
      <sz val="14"/>
    </font>
    <font>
      <name val="Segoe UI"/>
      <b val="1"/>
      <color rgb="001F4E78"/>
      <sz val="12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2F2F2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A6A6A6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4" fillId="4" borderId="2" applyAlignment="1" pivotButton="0" quotePrefix="0" xfId="0">
      <alignment horizontal="center"/>
    </xf>
    <xf numFmtId="0" fontId="0" fillId="0" borderId="2" pivotButton="0" quotePrefix="0" xfId="0"/>
    <xf numFmtId="3" fontId="5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0" fontId="6" fillId="0" borderId="0" pivotButton="0" quotePrefix="0" xfId="0"/>
    <xf numFmtId="0" fontId="7" fillId="5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Sample Countries across Regions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Analytics'!B8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Analytics'!$A$9:$A$15</f>
            </numRef>
          </cat>
          <val>
            <numRef>
              <f>'Dashboard &amp; Analytics'!$B$9:$B$15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Geographic 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Distribution Histogram (Median Age Counts)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Analytics'!B19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Analytics'!$A$20:$A$23</f>
            </numRef>
          </cat>
          <val>
            <numRef>
              <f>'Dashboard &amp; Analytics'!$B$20:$B$23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Brackets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(Number of Countries)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22" customWidth="1" min="4" max="4"/>
    <col width="18" customWidth="1" min="5" max="5"/>
    <col width="13" customWidth="1" min="6" max="6"/>
  </cols>
  <sheetData>
    <row r="1">
      <c r="A1" s="1" t="inlineStr">
        <is>
          <t>Country Code</t>
        </is>
      </c>
      <c r="B1" s="2" t="inlineStr">
        <is>
          <t>Country Name</t>
        </is>
      </c>
      <c r="C1" s="2" t="inlineStr">
        <is>
          <t>Region</t>
        </is>
      </c>
      <c r="D1" s="2" t="inlineStr">
        <is>
          <t>Income Group</t>
        </is>
      </c>
      <c r="E1" s="2" t="inlineStr">
        <is>
          <t>2022 Population</t>
        </is>
      </c>
      <c r="F1" s="1" t="inlineStr">
        <is>
          <t>Median Age</t>
        </is>
      </c>
    </row>
    <row r="2">
      <c r="A2" s="3" t="inlineStr">
        <is>
          <t>USA</t>
        </is>
      </c>
      <c r="B2" s="4" t="inlineStr">
        <is>
          <t>United States</t>
        </is>
      </c>
      <c r="C2" s="4" t="inlineStr">
        <is>
          <t>North America</t>
        </is>
      </c>
      <c r="D2" s="4" t="inlineStr">
        <is>
          <t>High income</t>
        </is>
      </c>
      <c r="E2" s="5" t="n">
        <v>333287557</v>
      </c>
      <c r="F2" s="6" t="n">
        <v>38.5</v>
      </c>
    </row>
    <row r="3">
      <c r="A3" s="7" t="inlineStr">
        <is>
          <t>IND</t>
        </is>
      </c>
      <c r="B3" s="8" t="inlineStr">
        <is>
          <t>India</t>
        </is>
      </c>
      <c r="C3" s="8" t="inlineStr">
        <is>
          <t>South Asia</t>
        </is>
      </c>
      <c r="D3" s="8" t="inlineStr">
        <is>
          <t>Lower middle income</t>
        </is>
      </c>
      <c r="E3" s="9" t="n">
        <v>1417173173</v>
      </c>
      <c r="F3" s="10" t="n">
        <v>28.7</v>
      </c>
    </row>
    <row r="4">
      <c r="A4" s="3" t="inlineStr">
        <is>
          <t>CHN</t>
        </is>
      </c>
      <c r="B4" s="4" t="inlineStr">
        <is>
          <t>China</t>
        </is>
      </c>
      <c r="C4" s="4" t="inlineStr">
        <is>
          <t>East Asia &amp; Pacific</t>
        </is>
      </c>
      <c r="D4" s="4" t="inlineStr">
        <is>
          <t>Upper middle income</t>
        </is>
      </c>
      <c r="E4" s="5" t="n">
        <v>1412175000</v>
      </c>
      <c r="F4" s="6" t="n">
        <v>38.4</v>
      </c>
    </row>
    <row r="5">
      <c r="A5" s="7" t="inlineStr">
        <is>
          <t>BRA</t>
        </is>
      </c>
      <c r="B5" s="8" t="inlineStr">
        <is>
          <t>Brazil</t>
        </is>
      </c>
      <c r="C5" s="8" t="inlineStr">
        <is>
          <t>Latin America &amp; Caribbean</t>
        </is>
      </c>
      <c r="D5" s="8" t="inlineStr">
        <is>
          <t>Upper middle income</t>
        </is>
      </c>
      <c r="E5" s="9" t="n">
        <v>215313498</v>
      </c>
      <c r="F5" s="10" t="n">
        <v>33.5</v>
      </c>
    </row>
    <row r="6">
      <c r="A6" s="3" t="inlineStr">
        <is>
          <t>NGA</t>
        </is>
      </c>
      <c r="B6" s="4" t="inlineStr">
        <is>
          <t>Nigeria</t>
        </is>
      </c>
      <c r="C6" s="4" t="inlineStr">
        <is>
          <t>Sub-Saharan Africa</t>
        </is>
      </c>
      <c r="D6" s="4" t="inlineStr">
        <is>
          <t>Lower middle income</t>
        </is>
      </c>
      <c r="E6" s="5" t="n">
        <v>218541212</v>
      </c>
      <c r="F6" s="6" t="n">
        <v>18.1</v>
      </c>
    </row>
    <row r="7">
      <c r="A7" s="7" t="inlineStr">
        <is>
          <t>DEU</t>
        </is>
      </c>
      <c r="B7" s="8" t="inlineStr">
        <is>
          <t>Germany</t>
        </is>
      </c>
      <c r="C7" s="8" t="inlineStr">
        <is>
          <t>Europe &amp; Central Asia</t>
        </is>
      </c>
      <c r="D7" s="8" t="inlineStr">
        <is>
          <t>High income</t>
        </is>
      </c>
      <c r="E7" s="9" t="n">
        <v>83797985</v>
      </c>
      <c r="F7" s="10" t="n">
        <v>45.7</v>
      </c>
    </row>
    <row r="8">
      <c r="A8" s="3" t="inlineStr">
        <is>
          <t>JPN</t>
        </is>
      </c>
      <c r="B8" s="4" t="inlineStr">
        <is>
          <t>Japan</t>
        </is>
      </c>
      <c r="C8" s="4" t="inlineStr">
        <is>
          <t>East Asia &amp; Pacific</t>
        </is>
      </c>
      <c r="D8" s="4" t="inlineStr">
        <is>
          <t>High income</t>
        </is>
      </c>
      <c r="E8" s="5" t="n">
        <v>125124000</v>
      </c>
      <c r="F8" s="6" t="n">
        <v>48.6</v>
      </c>
    </row>
    <row r="9">
      <c r="A9" s="7" t="inlineStr">
        <is>
          <t>GBR</t>
        </is>
      </c>
      <c r="B9" s="8" t="inlineStr">
        <is>
          <t>United Kingdom</t>
        </is>
      </c>
      <c r="C9" s="8" t="inlineStr">
        <is>
          <t>Europe &amp; Central Asia</t>
        </is>
      </c>
      <c r="D9" s="8" t="inlineStr">
        <is>
          <t>High income</t>
        </is>
      </c>
      <c r="E9" s="9" t="n">
        <v>67327000</v>
      </c>
      <c r="F9" s="10" t="n">
        <v>40.5</v>
      </c>
    </row>
    <row r="10">
      <c r="A10" s="3" t="inlineStr">
        <is>
          <t>ZAF</t>
        </is>
      </c>
      <c r="B10" s="4" t="inlineStr">
        <is>
          <t>South Africa</t>
        </is>
      </c>
      <c r="C10" s="4" t="inlineStr">
        <is>
          <t>Sub-Saharan Africa</t>
        </is>
      </c>
      <c r="D10" s="4" t="inlineStr">
        <is>
          <t>Upper middle income</t>
        </is>
      </c>
      <c r="E10" s="5" t="n">
        <v>59893885</v>
      </c>
      <c r="F10" s="6" t="n">
        <v>27.6</v>
      </c>
    </row>
    <row r="11">
      <c r="A11" s="7" t="inlineStr">
        <is>
          <t>AUS</t>
        </is>
      </c>
      <c r="B11" s="8" t="inlineStr">
        <is>
          <t>Australia</t>
        </is>
      </c>
      <c r="C11" s="8" t="inlineStr">
        <is>
          <t>East Asia &amp; Pacific</t>
        </is>
      </c>
      <c r="D11" s="8" t="inlineStr">
        <is>
          <t>High income</t>
        </is>
      </c>
      <c r="E11" s="9" t="n">
        <v>25978935</v>
      </c>
      <c r="F11" s="10" t="n">
        <v>37.5</v>
      </c>
    </row>
    <row r="12">
      <c r="A12" s="3" t="inlineStr">
        <is>
          <t>CAN</t>
        </is>
      </c>
      <c r="B12" s="4" t="inlineStr">
        <is>
          <t>Canada</t>
        </is>
      </c>
      <c r="C12" s="4" t="inlineStr">
        <is>
          <t>North America</t>
        </is>
      </c>
      <c r="D12" s="4" t="inlineStr">
        <is>
          <t>High income</t>
        </is>
      </c>
      <c r="E12" s="5" t="n">
        <v>38929902</v>
      </c>
      <c r="F12" s="6" t="n">
        <v>41.1</v>
      </c>
    </row>
    <row r="13">
      <c r="A13" s="7" t="inlineStr">
        <is>
          <t>FRA</t>
        </is>
      </c>
      <c r="B13" s="8" t="inlineStr">
        <is>
          <t>France</t>
        </is>
      </c>
      <c r="C13" s="8" t="inlineStr">
        <is>
          <t>Europe &amp; Central Asia</t>
        </is>
      </c>
      <c r="D13" s="8" t="inlineStr">
        <is>
          <t>High income</t>
        </is>
      </c>
      <c r="E13" s="9" t="n">
        <v>67971311</v>
      </c>
      <c r="F13" s="10" t="n">
        <v>41.7</v>
      </c>
    </row>
    <row r="14">
      <c r="A14" s="3" t="inlineStr">
        <is>
          <t>MEX</t>
        </is>
      </c>
      <c r="B14" s="4" t="inlineStr">
        <is>
          <t>Mexico</t>
        </is>
      </c>
      <c r="C14" s="4" t="inlineStr">
        <is>
          <t>Latin America &amp; Caribbean</t>
        </is>
      </c>
      <c r="D14" s="4" t="inlineStr">
        <is>
          <t>Upper middle income</t>
        </is>
      </c>
      <c r="E14" s="5" t="n">
        <v>127504125</v>
      </c>
      <c r="F14" s="6" t="n">
        <v>29.8</v>
      </c>
    </row>
    <row r="15">
      <c r="A15" s="7" t="inlineStr">
        <is>
          <t>IDN</t>
        </is>
      </c>
      <c r="B15" s="8" t="inlineStr">
        <is>
          <t>Indonesia</t>
        </is>
      </c>
      <c r="C15" s="8" t="inlineStr">
        <is>
          <t>East Asia &amp; Pacific</t>
        </is>
      </c>
      <c r="D15" s="8" t="inlineStr">
        <is>
          <t>Lower middle income</t>
        </is>
      </c>
      <c r="E15" s="9" t="n">
        <v>275501339</v>
      </c>
      <c r="F15" s="10" t="n">
        <v>29.9</v>
      </c>
    </row>
    <row r="16">
      <c r="A16" s="3" t="inlineStr">
        <is>
          <t>PAK</t>
        </is>
      </c>
      <c r="B16" s="4" t="inlineStr">
        <is>
          <t>Pakistan</t>
        </is>
      </c>
      <c r="C16" s="4" t="inlineStr">
        <is>
          <t>South Asia</t>
        </is>
      </c>
      <c r="D16" s="4" t="inlineStr">
        <is>
          <t>Lower middle income</t>
        </is>
      </c>
      <c r="E16" s="5" t="n">
        <v>235824862</v>
      </c>
      <c r="F16" s="6" t="n">
        <v>22</v>
      </c>
    </row>
    <row r="17">
      <c r="A17" s="7" t="inlineStr">
        <is>
          <t>EGY</t>
        </is>
      </c>
      <c r="B17" s="8" t="inlineStr">
        <is>
          <t>Egypt</t>
        </is>
      </c>
      <c r="C17" s="8" t="inlineStr">
        <is>
          <t>Middle East &amp; North Africa</t>
        </is>
      </c>
      <c r="D17" s="8" t="inlineStr">
        <is>
          <t>Lower middle income</t>
        </is>
      </c>
      <c r="E17" s="9" t="n">
        <v>110990103</v>
      </c>
      <c r="F17" s="10" t="n">
        <v>24.8</v>
      </c>
    </row>
    <row r="18">
      <c r="A18" s="3" t="inlineStr">
        <is>
          <t>TUR</t>
        </is>
      </c>
      <c r="B18" s="4" t="inlineStr">
        <is>
          <t>Turkey</t>
        </is>
      </c>
      <c r="C18" s="4" t="inlineStr">
        <is>
          <t>Europe &amp; Central Asia</t>
        </is>
      </c>
      <c r="D18" s="4" t="inlineStr">
        <is>
          <t>Upper middle income</t>
        </is>
      </c>
      <c r="E18" s="5" t="n">
        <v>85341241</v>
      </c>
      <c r="F18" s="6" t="n">
        <v>32.8</v>
      </c>
    </row>
    <row r="19">
      <c r="A19" s="7" t="inlineStr">
        <is>
          <t>ITA</t>
        </is>
      </c>
      <c r="B19" s="8" t="inlineStr">
        <is>
          <t>Italy</t>
        </is>
      </c>
      <c r="C19" s="8" t="inlineStr">
        <is>
          <t>Europe &amp; Central Asia</t>
        </is>
      </c>
      <c r="D19" s="8" t="inlineStr">
        <is>
          <t>High income</t>
        </is>
      </c>
      <c r="E19" s="9" t="n">
        <v>58940142</v>
      </c>
      <c r="F19" s="10" t="n">
        <v>47.3</v>
      </c>
    </row>
    <row r="20">
      <c r="A20" s="3" t="inlineStr">
        <is>
          <t>ESP</t>
        </is>
      </c>
      <c r="B20" s="4" t="inlineStr">
        <is>
          <t>Spain</t>
        </is>
      </c>
      <c r="C20" s="4" t="inlineStr">
        <is>
          <t>Europe &amp; Central Asia</t>
        </is>
      </c>
      <c r="D20" s="4" t="inlineStr">
        <is>
          <t>High income</t>
        </is>
      </c>
      <c r="E20" s="5" t="n">
        <v>47615034</v>
      </c>
      <c r="F20" s="6" t="n">
        <v>43.9</v>
      </c>
    </row>
    <row r="21">
      <c r="A21" s="7" t="inlineStr">
        <is>
          <t>ARG</t>
        </is>
      </c>
      <c r="B21" s="8" t="inlineStr">
        <is>
          <t>Argentina</t>
        </is>
      </c>
      <c r="C21" s="8" t="inlineStr">
        <is>
          <t>Latin America &amp; Caribbean</t>
        </is>
      </c>
      <c r="D21" s="8" t="inlineStr">
        <is>
          <t>Upper middle income</t>
        </is>
      </c>
      <c r="E21" s="9" t="n">
        <v>46202930</v>
      </c>
      <c r="F21" s="10" t="n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11" t="inlineStr">
        <is>
          <t>Task 1: Demographic Distribution Analytics Dashboard</t>
        </is>
      </c>
    </row>
    <row r="2"/>
    <row r="4">
      <c r="A4" s="12" t="inlineStr">
        <is>
          <t>TOTAL COUNTRIES</t>
        </is>
      </c>
      <c r="B4" s="13" t="n"/>
      <c r="C4" s="12" t="inlineStr">
        <is>
          <t>TOTAL POPULATION</t>
        </is>
      </c>
      <c r="D4" s="13" t="n"/>
      <c r="E4" s="12" t="inlineStr">
        <is>
          <t>AVERAGE MEDIAN AGE</t>
        </is>
      </c>
      <c r="F4" s="13" t="n"/>
    </row>
    <row r="5">
      <c r="A5" s="14">
        <f>COUNTA('Population Data'!A2:A21)</f>
        <v/>
      </c>
      <c r="B5" s="13" t="n"/>
      <c r="C5" s="14">
        <f>SUM('Population Data'!E2:E21)</f>
        <v/>
      </c>
      <c r="D5" s="13" t="n"/>
      <c r="E5" s="15">
        <f>AVERAGE('Population Data'!F2:F21)</f>
        <v/>
      </c>
      <c r="F5" s="13" t="n"/>
    </row>
    <row r="7">
      <c r="A7" s="16" t="inlineStr">
        <is>
          <t>Region Distribution Summary</t>
        </is>
      </c>
    </row>
    <row r="8">
      <c r="A8" s="17" t="inlineStr">
        <is>
          <t>Geographic Region</t>
        </is>
      </c>
      <c r="B8" s="17" t="inlineStr">
        <is>
          <t>Country Count</t>
        </is>
      </c>
    </row>
    <row r="9">
      <c r="A9" s="18" t="inlineStr">
        <is>
          <t>East Asia &amp; Pacific</t>
        </is>
      </c>
      <c r="B9" s="19">
        <f>COUNTIF('Population Data'!C$2:C$21, "East Asia &amp; Pacific")</f>
        <v/>
      </c>
    </row>
    <row r="10">
      <c r="A10" s="18" t="inlineStr">
        <is>
          <t>Europe &amp; Central Asia</t>
        </is>
      </c>
      <c r="B10" s="19">
        <f>COUNTIF('Population Data'!C$2:C$21, "Europe &amp; Central Asia")</f>
        <v/>
      </c>
    </row>
    <row r="11">
      <c r="A11" s="18" t="inlineStr">
        <is>
          <t>Latin America &amp; Caribbean</t>
        </is>
      </c>
      <c r="B11" s="19">
        <f>COUNTIF('Population Data'!C$2:C$21, "Latin America &amp; Caribbean")</f>
        <v/>
      </c>
    </row>
    <row r="12">
      <c r="A12" s="18" t="inlineStr">
        <is>
          <t>Middle East &amp; North Africa</t>
        </is>
      </c>
      <c r="B12" s="19">
        <f>COUNTIF('Population Data'!C$2:C$21, "Middle East &amp; North Africa")</f>
        <v/>
      </c>
    </row>
    <row r="13">
      <c r="A13" s="18" t="inlineStr">
        <is>
          <t>North America</t>
        </is>
      </c>
      <c r="B13" s="19">
        <f>COUNTIF('Population Data'!C$2:C$21, "North America")</f>
        <v/>
      </c>
    </row>
    <row r="14">
      <c r="A14" s="18" t="inlineStr">
        <is>
          <t>South Asia</t>
        </is>
      </c>
      <c r="B14" s="19">
        <f>COUNTIF('Population Data'!C$2:C$21, "South Asia")</f>
        <v/>
      </c>
    </row>
    <row r="15">
      <c r="A15" s="18" t="inlineStr">
        <is>
          <t>Sub-Saharan Africa</t>
        </is>
      </c>
      <c r="B15" s="19">
        <f>COUNTIF('Population Data'!C$2:C$21, "Sub-Saharan Africa")</f>
        <v/>
      </c>
    </row>
    <row r="18">
      <c r="A18" s="16" t="inlineStr">
        <is>
          <t>Age Group (Histogram Bins)</t>
        </is>
      </c>
    </row>
    <row r="19">
      <c r="A19" s="17" t="inlineStr">
        <is>
          <t>Age Intervals</t>
        </is>
      </c>
      <c r="B19" s="17" t="inlineStr">
        <is>
          <t>Frequency</t>
        </is>
      </c>
    </row>
    <row r="20">
      <c r="A20" s="18" t="inlineStr">
        <is>
          <t>15 - 24</t>
        </is>
      </c>
      <c r="B20" s="19">
        <f>COUNTIFS('Population Data'!F$2:F$21, "&gt;=15", 'Population Data'!F$2:F$21, "&lt;25")</f>
        <v/>
      </c>
    </row>
    <row r="21">
      <c r="A21" s="18" t="inlineStr">
        <is>
          <t>25 - 34</t>
        </is>
      </c>
      <c r="B21" s="19">
        <f>COUNTIFS('Population Data'!F$2:F$21, "&gt;=25", 'Population Data'!F$2:F$21, "&lt;35")</f>
        <v/>
      </c>
    </row>
    <row r="22">
      <c r="A22" s="18" t="inlineStr">
        <is>
          <t>35 - 44</t>
        </is>
      </c>
      <c r="B22" s="19">
        <f>COUNTIFS('Population Data'!F$2:F$21, "&gt;=35", 'Population Data'!F$2:F$21, "&lt;45")</f>
        <v/>
      </c>
    </row>
    <row r="23">
      <c r="A23" s="18" t="inlineStr">
        <is>
          <t>45 - 55</t>
        </is>
      </c>
      <c r="B23" s="19">
        <f>COUNTIFS('Population Data'!F$2:F$21, "&gt;=45", 'Population Data'!F$2:F$21, "&lt;=55")</f>
        <v/>
      </c>
    </row>
  </sheetData>
  <mergeCells count="7">
    <mergeCell ref="A4:B4"/>
    <mergeCell ref="E4:F4"/>
    <mergeCell ref="A1:G2"/>
    <mergeCell ref="C5:D5"/>
    <mergeCell ref="A5:B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2026-06-07T01:59:51Z</dcterms:created>
  <dcterms:modified xmlns:dcterms="http://purl.org/dc/terms/" xmlns:xsi="http://www.w3.org/2001/XMLSchema-instance" xsi:type="dcterms:W3CDTF">2026-06-07T01:59:51Z</dcterms:modified>
</cp:coreProperties>
</file>